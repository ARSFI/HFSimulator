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HF-IONOS/Ver 3.0d/BOM Ver3.0d/"/>
    </mc:Choice>
  </mc:AlternateContent>
  <xr:revisionPtr revIDLastSave="0" documentId="13_ncr:1_{8117D865-D42C-DB46-B401-2EF07D8A9E32}" xr6:coauthVersionLast="47" xr6:coauthVersionMax="47" xr10:uidLastSave="{00000000-0000-0000-0000-000000000000}"/>
  <bookViews>
    <workbookView xWindow="1640" yWindow="9140" windowWidth="27640" windowHeight="16940" xr2:uid="{E0D3FBD9-A2E6-514E-8238-E5DACB8AF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2" i="1"/>
  <c r="H22" i="1" l="1"/>
  <c r="H21" i="1"/>
  <c r="H13" i="1"/>
  <c r="H19" i="1"/>
  <c r="H18" i="1"/>
  <c r="H17" i="1"/>
  <c r="H16" i="1"/>
  <c r="H15" i="1"/>
  <c r="H14" i="1"/>
  <c r="H11" i="1"/>
  <c r="H10" i="1"/>
  <c r="I10" i="1" s="1"/>
  <c r="H9" i="1"/>
  <c r="I9" i="1" s="1"/>
  <c r="H8" i="1"/>
  <c r="H6" i="1"/>
  <c r="H5" i="1"/>
  <c r="H4" i="1"/>
  <c r="H7" i="1"/>
  <c r="I7" i="1" s="1"/>
  <c r="H24" i="1" l="1"/>
  <c r="H25" i="1" s="1"/>
</calcChain>
</file>

<file path=xl/sharedStrings.xml><?xml version="1.0" encoding="utf-8"?>
<sst xmlns="http://schemas.openxmlformats.org/spreadsheetml/2006/main" count="36" uniqueCount="31">
  <si>
    <t>JCLPCB</t>
  </si>
  <si>
    <t>SGTL5000 Part order</t>
  </si>
  <si>
    <t>Mouser</t>
  </si>
  <si>
    <t>Parts deposit</t>
  </si>
  <si>
    <t>Connector  ESW-114-23-L-S</t>
  </si>
  <si>
    <t>Cost</t>
  </si>
  <si>
    <t>Vendor</t>
  </si>
  <si>
    <t>Part</t>
  </si>
  <si>
    <t>Date</t>
  </si>
  <si>
    <t>Tariff</t>
  </si>
  <si>
    <t>Shipping</t>
  </si>
  <si>
    <t>Total</t>
  </si>
  <si>
    <t>PolyCase</t>
  </si>
  <si>
    <t>Tax</t>
  </si>
  <si>
    <t>Parts deposit, Refund</t>
  </si>
  <si>
    <t>Cases</t>
  </si>
  <si>
    <t>PCB + Assembly + Parts</t>
  </si>
  <si>
    <t>Total:</t>
  </si>
  <si>
    <t>Display</t>
  </si>
  <si>
    <t>Knobs</t>
  </si>
  <si>
    <t>3 extra</t>
  </si>
  <si>
    <t>25 cases</t>
  </si>
  <si>
    <t>15 each, 25 boards</t>
  </si>
  <si>
    <t>Teensy 4.1</t>
  </si>
  <si>
    <t>Sparkfun</t>
  </si>
  <si>
    <t>10 extra</t>
  </si>
  <si>
    <t>Stock ok</t>
  </si>
  <si>
    <t>Connectors for Teensy</t>
  </si>
  <si>
    <t>&lt;--- Est Cost Per unit`</t>
  </si>
  <si>
    <t>Ebay</t>
  </si>
  <si>
    <t xml:space="preserve">3 extra  units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</si>
</sst>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2" xfId="0" applyNumberFormat="1" applyBorder="1" applyAlignment="1">
      <alignment horizontal="right"/>
    </xf>
    <xf numFmtId="164" fontId="0" fillId="0" borderId="2" xfId="0" applyNumberFormat="1" applyBorder="1"/>
    <xf numFmtId="16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1C5-180A-DF4B-822C-CFC9EDDAFE59}">
  <sheetPr>
    <pageSetUpPr fitToPage="1"/>
  </sheetPr>
  <dimension ref="A2:J25"/>
  <sheetViews>
    <sheetView tabSelected="1" workbookViewId="0">
      <selection activeCell="F8" sqref="F8"/>
    </sheetView>
  </sheetViews>
  <sheetFormatPr baseColWidth="10" defaultRowHeight="16" x14ac:dyDescent="0.2"/>
  <cols>
    <col min="1" max="1" width="14.5" customWidth="1"/>
    <col min="2" max="2" width="21.6640625" customWidth="1"/>
    <col min="3" max="3" width="31" customWidth="1"/>
    <col min="4" max="8" width="13.83203125" customWidth="1"/>
    <col min="9" max="9" width="10.83203125" style="7"/>
    <col min="10" max="10" width="18.6640625" customWidth="1"/>
  </cols>
  <sheetData>
    <row r="2" spans="1:10" x14ac:dyDescent="0.2">
      <c r="A2" s="2" t="s">
        <v>8</v>
      </c>
      <c r="B2" s="2" t="s">
        <v>6</v>
      </c>
      <c r="C2" s="2" t="s">
        <v>7</v>
      </c>
      <c r="D2" s="2" t="s">
        <v>9</v>
      </c>
      <c r="E2" s="2" t="s">
        <v>10</v>
      </c>
      <c r="F2" s="2" t="s">
        <v>5</v>
      </c>
      <c r="G2" s="2" t="s">
        <v>13</v>
      </c>
      <c r="H2" s="2" t="s">
        <v>11</v>
      </c>
    </row>
    <row r="3" spans="1:10" x14ac:dyDescent="0.2">
      <c r="D3" s="3"/>
      <c r="E3" s="3"/>
      <c r="F3" s="3"/>
      <c r="G3" s="3"/>
      <c r="H3" s="3"/>
    </row>
    <row r="4" spans="1:10" x14ac:dyDescent="0.2">
      <c r="A4" s="1">
        <v>46093</v>
      </c>
      <c r="B4" t="s">
        <v>0</v>
      </c>
      <c r="C4" t="s">
        <v>3</v>
      </c>
      <c r="D4" s="3"/>
      <c r="E4" s="3"/>
      <c r="F4" s="3">
        <v>5.86</v>
      </c>
      <c r="G4" s="3"/>
      <c r="H4" s="3">
        <f>SUM(D4:G4)</f>
        <v>5.86</v>
      </c>
    </row>
    <row r="5" spans="1:10" x14ac:dyDescent="0.2">
      <c r="A5" s="1">
        <v>46098</v>
      </c>
      <c r="B5" t="s">
        <v>0</v>
      </c>
      <c r="C5" t="s">
        <v>1</v>
      </c>
      <c r="D5" s="3"/>
      <c r="E5" s="3"/>
      <c r="F5" s="3">
        <v>97.48</v>
      </c>
      <c r="G5" s="3"/>
      <c r="H5" s="3">
        <f t="shared" ref="H5:H22" si="0">SUM(D5:G5)</f>
        <v>97.48</v>
      </c>
    </row>
    <row r="6" spans="1:10" x14ac:dyDescent="0.2">
      <c r="A6" s="1">
        <v>46097</v>
      </c>
      <c r="B6" t="s">
        <v>2</v>
      </c>
      <c r="C6" t="s">
        <v>4</v>
      </c>
      <c r="D6" s="3"/>
      <c r="E6" s="3">
        <v>8.49</v>
      </c>
      <c r="F6" s="3">
        <v>56.32</v>
      </c>
      <c r="G6" s="3"/>
      <c r="H6" s="3">
        <f t="shared" si="0"/>
        <v>64.81</v>
      </c>
    </row>
    <row r="7" spans="1:10" x14ac:dyDescent="0.2">
      <c r="A7" s="1">
        <v>46092</v>
      </c>
      <c r="B7" t="s">
        <v>12</v>
      </c>
      <c r="C7" t="s">
        <v>15</v>
      </c>
      <c r="D7" s="3"/>
      <c r="E7" s="3">
        <v>24.46</v>
      </c>
      <c r="F7" s="3">
        <v>957.1</v>
      </c>
      <c r="G7" s="3"/>
      <c r="H7" s="3">
        <f t="shared" si="0"/>
        <v>981.56000000000006</v>
      </c>
      <c r="I7" s="7">
        <f>H7/25</f>
        <v>39.2624</v>
      </c>
      <c r="J7" t="s">
        <v>21</v>
      </c>
    </row>
    <row r="8" spans="1:10" x14ac:dyDescent="0.2">
      <c r="A8" s="1">
        <v>46098</v>
      </c>
      <c r="B8" t="s">
        <v>0</v>
      </c>
      <c r="C8" t="s">
        <v>14</v>
      </c>
      <c r="D8" s="3"/>
      <c r="E8" s="3"/>
      <c r="F8" s="3">
        <v>-5.86</v>
      </c>
      <c r="G8" s="3"/>
      <c r="H8" s="3">
        <f t="shared" si="0"/>
        <v>-5.86</v>
      </c>
    </row>
    <row r="9" spans="1:10" x14ac:dyDescent="0.2">
      <c r="A9" s="1">
        <v>46098</v>
      </c>
      <c r="B9" t="s">
        <v>0</v>
      </c>
      <c r="C9" t="s">
        <v>16</v>
      </c>
      <c r="D9" s="3">
        <v>155.63999999999999</v>
      </c>
      <c r="E9" s="3">
        <v>114.95</v>
      </c>
      <c r="F9" s="3">
        <v>453.68</v>
      </c>
      <c r="G9" s="3">
        <v>3.04</v>
      </c>
      <c r="H9" s="3">
        <f t="shared" si="0"/>
        <v>727.31</v>
      </c>
      <c r="I9" s="7">
        <f>H9/15</f>
        <v>48.487333333333332</v>
      </c>
      <c r="J9" t="s">
        <v>22</v>
      </c>
    </row>
    <row r="10" spans="1:10" x14ac:dyDescent="0.2">
      <c r="A10" s="1">
        <v>46099</v>
      </c>
      <c r="B10" t="s">
        <v>24</v>
      </c>
      <c r="C10" t="s">
        <v>23</v>
      </c>
      <c r="D10" s="3"/>
      <c r="E10" s="3"/>
      <c r="F10" s="3">
        <v>651.66999999999996</v>
      </c>
      <c r="G10" s="3"/>
      <c r="H10" s="3">
        <f t="shared" si="0"/>
        <v>651.66999999999996</v>
      </c>
      <c r="I10" s="7">
        <f>H10/18</f>
        <v>36.203888888888883</v>
      </c>
      <c r="J10" s="8" t="s">
        <v>20</v>
      </c>
    </row>
    <row r="11" spans="1:10" x14ac:dyDescent="0.2">
      <c r="A11" s="1">
        <v>46099</v>
      </c>
      <c r="B11" t="s">
        <v>2</v>
      </c>
      <c r="C11" t="s">
        <v>27</v>
      </c>
      <c r="D11" s="3"/>
      <c r="E11" s="3"/>
      <c r="F11" s="3">
        <v>70.58</v>
      </c>
      <c r="G11" s="3"/>
      <c r="H11" s="3">
        <f t="shared" si="0"/>
        <v>70.58</v>
      </c>
      <c r="J11" t="s">
        <v>25</v>
      </c>
    </row>
    <row r="12" spans="1:10" x14ac:dyDescent="0.2">
      <c r="A12" s="1">
        <v>46122</v>
      </c>
      <c r="B12" t="s">
        <v>29</v>
      </c>
      <c r="C12" t="s">
        <v>18</v>
      </c>
      <c r="D12" s="3">
        <v>48.75</v>
      </c>
      <c r="E12" s="3"/>
      <c r="F12">
        <v>194.81</v>
      </c>
      <c r="G12" s="3"/>
      <c r="H12" s="3">
        <f t="shared" si="0"/>
        <v>243.56</v>
      </c>
      <c r="J12" t="s">
        <v>30</v>
      </c>
    </row>
    <row r="13" spans="1:10" x14ac:dyDescent="0.2">
      <c r="B13" t="s">
        <v>2</v>
      </c>
      <c r="C13" t="s">
        <v>19</v>
      </c>
      <c r="D13" s="3"/>
      <c r="E13" s="3"/>
      <c r="F13" s="3">
        <v>150</v>
      </c>
      <c r="G13" s="3"/>
      <c r="H13" s="3">
        <f>SUM(D13:G13)</f>
        <v>150</v>
      </c>
      <c r="J13" t="s">
        <v>26</v>
      </c>
    </row>
    <row r="14" spans="1:10" x14ac:dyDescent="0.2">
      <c r="D14" s="3"/>
      <c r="E14" s="3"/>
      <c r="F14" s="3"/>
      <c r="G14" s="3"/>
      <c r="H14" s="3">
        <f t="shared" si="0"/>
        <v>0</v>
      </c>
    </row>
    <row r="15" spans="1:10" x14ac:dyDescent="0.2">
      <c r="D15" s="3"/>
      <c r="E15" s="3"/>
      <c r="F15" s="3"/>
      <c r="G15" s="3"/>
      <c r="H15" s="3">
        <f t="shared" si="0"/>
        <v>0</v>
      </c>
    </row>
    <row r="16" spans="1:10" x14ac:dyDescent="0.2">
      <c r="D16" s="3"/>
      <c r="E16" s="3"/>
      <c r="F16" s="3"/>
      <c r="G16" s="3"/>
      <c r="H16" s="3">
        <f t="shared" si="0"/>
        <v>0</v>
      </c>
    </row>
    <row r="17" spans="4:10" x14ac:dyDescent="0.2">
      <c r="D17" s="3"/>
      <c r="E17" s="3"/>
      <c r="F17" s="3"/>
      <c r="G17" s="3"/>
      <c r="H17" s="3">
        <f t="shared" si="0"/>
        <v>0</v>
      </c>
    </row>
    <row r="18" spans="4:10" x14ac:dyDescent="0.2">
      <c r="D18" s="3"/>
      <c r="E18" s="3"/>
      <c r="F18" s="3"/>
      <c r="G18" s="3"/>
      <c r="H18" s="3">
        <f t="shared" si="0"/>
        <v>0</v>
      </c>
    </row>
    <row r="19" spans="4:10" x14ac:dyDescent="0.2">
      <c r="G19" s="3"/>
      <c r="H19" s="3">
        <f t="shared" si="0"/>
        <v>0</v>
      </c>
    </row>
    <row r="20" spans="4:10" x14ac:dyDescent="0.2">
      <c r="H20" s="3">
        <f t="shared" si="0"/>
        <v>0</v>
      </c>
    </row>
    <row r="21" spans="4:10" x14ac:dyDescent="0.2">
      <c r="D21" s="3"/>
      <c r="E21" s="3"/>
      <c r="F21" s="3"/>
      <c r="G21" s="3"/>
      <c r="H21" s="3">
        <f t="shared" si="0"/>
        <v>0</v>
      </c>
    </row>
    <row r="22" spans="4:10" x14ac:dyDescent="0.2">
      <c r="D22" s="3"/>
      <c r="E22" s="3"/>
      <c r="F22" s="3"/>
      <c r="G22" s="3"/>
      <c r="H22" s="3">
        <f t="shared" si="0"/>
        <v>0</v>
      </c>
    </row>
    <row r="23" spans="4:10" x14ac:dyDescent="0.2">
      <c r="D23" s="3"/>
      <c r="E23" s="3"/>
      <c r="F23" s="3"/>
      <c r="G23" s="3"/>
      <c r="H23" s="3"/>
    </row>
    <row r="24" spans="4:10" x14ac:dyDescent="0.2">
      <c r="D24" s="3"/>
      <c r="E24" s="3"/>
      <c r="F24" s="3"/>
      <c r="G24" s="4" t="s">
        <v>17</v>
      </c>
      <c r="H24" s="5">
        <f>SUM(H4:H22)</f>
        <v>2986.97</v>
      </c>
    </row>
    <row r="25" spans="4:10" x14ac:dyDescent="0.2">
      <c r="G25">
        <v>15</v>
      </c>
      <c r="H25" s="6">
        <f>H24/G25</f>
        <v>199.13133333333332</v>
      </c>
      <c r="J25" s="7" t="s">
        <v>28</v>
      </c>
    </row>
  </sheetData>
  <pageMargins left="0.7" right="0.7" top="0.75" bottom="0.75" header="0.3" footer="0.3"/>
  <pageSetup scale="6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lafleur</dc:creator>
  <cp:lastModifiedBy>tom lafleur</cp:lastModifiedBy>
  <cp:lastPrinted>2026-04-28T15:43:16Z</cp:lastPrinted>
  <dcterms:created xsi:type="dcterms:W3CDTF">2026-03-17T15:28:25Z</dcterms:created>
  <dcterms:modified xsi:type="dcterms:W3CDTF">2026-04-28T16:15:34Z</dcterms:modified>
</cp:coreProperties>
</file>