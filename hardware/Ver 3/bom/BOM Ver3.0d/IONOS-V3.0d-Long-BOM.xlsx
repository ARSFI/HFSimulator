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HF-IONOS/Ver 3.0d/BOM Ver3.0d/"/>
    </mc:Choice>
  </mc:AlternateContent>
  <xr:revisionPtr revIDLastSave="0" documentId="13_ncr:1_{6E64FA56-C0E3-954D-8DFA-EDBB725093AD}" xr6:coauthVersionLast="47" xr6:coauthVersionMax="47" xr10:uidLastSave="{00000000-0000-0000-0000-000000000000}"/>
  <bookViews>
    <workbookView xWindow="12380" yWindow="6400" windowWidth="31060" windowHeight="19540" xr2:uid="{E81F111F-A638-434B-83FE-647713398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M40" i="1"/>
  <c r="M39" i="1"/>
  <c r="M16" i="1"/>
  <c r="M50" i="1"/>
  <c r="M49" i="1"/>
  <c r="M48" i="1"/>
  <c r="M47" i="1"/>
  <c r="M46" i="1"/>
  <c r="M45" i="1"/>
  <c r="M44" i="1"/>
  <c r="M43" i="1"/>
  <c r="M42" i="1"/>
  <c r="M41" i="1"/>
  <c r="M37" i="1"/>
  <c r="M35" i="1"/>
  <c r="M38" i="1"/>
  <c r="M36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5" i="1"/>
  <c r="M14" i="1"/>
  <c r="M13" i="1"/>
  <c r="M12" i="1"/>
  <c r="M11" i="1"/>
  <c r="M10" i="1"/>
  <c r="M9" i="1"/>
  <c r="M7" i="1"/>
  <c r="M6" i="1"/>
  <c r="M5" i="1"/>
  <c r="M4" i="1"/>
  <c r="M3" i="1"/>
  <c r="M55" i="1" l="1"/>
</calcChain>
</file>

<file path=xl/sharedStrings.xml><?xml version="1.0" encoding="utf-8"?>
<sst xmlns="http://schemas.openxmlformats.org/spreadsheetml/2006/main" count="261" uniqueCount="164">
  <si>
    <t>Name</t>
  </si>
  <si>
    <t>Description</t>
  </si>
  <si>
    <t>Designator</t>
  </si>
  <si>
    <t>Notes</t>
  </si>
  <si>
    <t>Package</t>
  </si>
  <si>
    <t>Quantity</t>
  </si>
  <si>
    <t>Manufacturer</t>
  </si>
  <si>
    <t xml:space="preserve">Manufacturer Part Number </t>
  </si>
  <si>
    <t>JLCPCB Part Number</t>
  </si>
  <si>
    <t>Alt Part</t>
  </si>
  <si>
    <t>Cost</t>
  </si>
  <si>
    <t>Total Cost</t>
  </si>
  <si>
    <t/>
  </si>
  <si>
    <t>.1uf/50v</t>
  </si>
  <si>
    <t>Capacitor, 50v, 0805</t>
  </si>
  <si>
    <t>C1, C9, C10, C12, C13, C18, C26, C28</t>
  </si>
  <si>
    <t>0805</t>
  </si>
  <si>
    <t>Samsung</t>
  </si>
  <si>
    <t>CL21B104KBCNNNC</t>
  </si>
  <si>
    <t>C1711</t>
  </si>
  <si>
    <t>22uf/10V</t>
  </si>
  <si>
    <t>Capacitor, 10v, 0805</t>
  </si>
  <si>
    <t>C2, C27, C29</t>
  </si>
  <si>
    <t>CL21A226MAQNNNE</t>
  </si>
  <si>
    <t>C45783</t>
  </si>
  <si>
    <t>.01uf</t>
  </si>
  <si>
    <t>Capacitor</t>
  </si>
  <si>
    <t>C3, C4, C5, C6, C7, C8</t>
  </si>
  <si>
    <t>CL21B103KBCNNNC</t>
  </si>
  <si>
    <t>C5137493</t>
  </si>
  <si>
    <t>10uf/10v</t>
  </si>
  <si>
    <t>C11, C25, C15, C16, C17, C20, C21, C22, C23</t>
  </si>
  <si>
    <t>CL21A106KAYNNNE</t>
  </si>
  <si>
    <t>C15850</t>
  </si>
  <si>
    <t>C19, C24</t>
  </si>
  <si>
    <t>Not Installed</t>
  </si>
  <si>
    <t>Yageo</t>
  </si>
  <si>
    <t>1.2k</t>
  </si>
  <si>
    <t>Resistor - 0805 1% - Metal Film</t>
  </si>
  <si>
    <t>R1, R2, R3, R4</t>
  </si>
  <si>
    <t>RC0805FR-071K2L</t>
  </si>
  <si>
    <t>C114526</t>
  </si>
  <si>
    <t>4.7k</t>
  </si>
  <si>
    <t>R5, R6</t>
  </si>
  <si>
    <t>RC0805FR-074K7L</t>
  </si>
  <si>
    <t>C60816</t>
  </si>
  <si>
    <t>10k</t>
  </si>
  <si>
    <t>R29, R37, R22</t>
  </si>
  <si>
    <t>RC0805FR-0710KL</t>
  </si>
  <si>
    <t>C84376</t>
  </si>
  <si>
    <t>R7, R8, R9, R10, R40, R41</t>
  </si>
  <si>
    <t>120</t>
  </si>
  <si>
    <t>R23</t>
  </si>
  <si>
    <t>RC0805FR-07120RL</t>
  </si>
  <si>
    <t>C114245</t>
  </si>
  <si>
    <t>R15, R16, R17, R18, R19, R20, R30, R31</t>
  </si>
  <si>
    <t>0 Ohms</t>
  </si>
  <si>
    <t>RC0805FR-070RL</t>
  </si>
  <si>
    <t>100k</t>
  </si>
  <si>
    <t>R25, R27, R28, R33, R35, R36</t>
  </si>
  <si>
    <t>RC0805FR-07100KL</t>
  </si>
  <si>
    <t>C96346</t>
  </si>
  <si>
    <t>1k</t>
  </si>
  <si>
    <t>R26, R34</t>
  </si>
  <si>
    <t>RC0805FR-071KL</t>
  </si>
  <si>
    <t>C95781</t>
  </si>
  <si>
    <t>Teensy 4.1</t>
  </si>
  <si>
    <t>Teensy_4.1_SBC</t>
  </si>
  <si>
    <t>U1</t>
  </si>
  <si>
    <t>DIP48-.25pins</t>
  </si>
  <si>
    <t>Sparkfun</t>
  </si>
  <si>
    <t>OPA2322AID</t>
  </si>
  <si>
    <t>20 MHz, Low Noise, RRIO, CMOS Operational Amplifier, 1.8 to 5.5 V, -40 to 125 degC, 8-pin SOIC (D8), Green (RoHS &amp; no Sb/Br)</t>
  </si>
  <si>
    <t>U7</t>
  </si>
  <si>
    <t>SOP-8</t>
  </si>
  <si>
    <t>Texas Instruments</t>
  </si>
  <si>
    <t>C2058012</t>
  </si>
  <si>
    <t>AP7313-18SG-7</t>
  </si>
  <si>
    <t>LDO, 1.8v</t>
  </si>
  <si>
    <t>U4</t>
  </si>
  <si>
    <t>SOT-23-5</t>
  </si>
  <si>
    <t>Diode Inc</t>
  </si>
  <si>
    <t>C460373</t>
  </si>
  <si>
    <t>C150747</t>
  </si>
  <si>
    <t>Audio Codec</t>
  </si>
  <si>
    <t>U5</t>
  </si>
  <si>
    <t>QFN 32</t>
  </si>
  <si>
    <t>NXP</t>
  </si>
  <si>
    <t>C5196743</t>
  </si>
  <si>
    <t>LH1500AAB</t>
  </si>
  <si>
    <t>SS Relay, 250V 200ma</t>
  </si>
  <si>
    <t>U6</t>
  </si>
  <si>
    <t>SMD DIP-6</t>
  </si>
  <si>
    <t>Visahy</t>
  </si>
  <si>
    <t>C3008868</t>
  </si>
  <si>
    <t>IRLML6244TR</t>
  </si>
  <si>
    <t>HEXFET N-Channel</t>
  </si>
  <si>
    <t>Q1</t>
  </si>
  <si>
    <t>SOT-23-3</t>
  </si>
  <si>
    <t>U2, U3</t>
  </si>
  <si>
    <t>Bourns</t>
  </si>
  <si>
    <t>C7435302</t>
  </si>
  <si>
    <t>SJ1-3533N</t>
  </si>
  <si>
    <t>3.5 mm phone jack</t>
  </si>
  <si>
    <t>J2, J3</t>
  </si>
  <si>
    <t>Special</t>
  </si>
  <si>
    <t>CUI</t>
  </si>
  <si>
    <t>C4992360</t>
  </si>
  <si>
    <t>C4992359</t>
  </si>
  <si>
    <t>LED-1</t>
  </si>
  <si>
    <t>LED-3</t>
  </si>
  <si>
    <t>PWR 3.3V</t>
  </si>
  <si>
    <t>LED-2</t>
  </si>
  <si>
    <t>TS2A</t>
  </si>
  <si>
    <t>I2C-Test</t>
  </si>
  <si>
    <t>Header, 4-Pin</t>
  </si>
  <si>
    <t>P1</t>
  </si>
  <si>
    <t>LCD-Header 2.8in</t>
  </si>
  <si>
    <t>Header, 14-Pin</t>
  </si>
  <si>
    <t>P2</t>
  </si>
  <si>
    <t>2.54mm header</t>
  </si>
  <si>
    <t>Samtec</t>
  </si>
  <si>
    <t>ESW-114-23-L-S</t>
  </si>
  <si>
    <t>C21220402</t>
  </si>
  <si>
    <t>LCD-Header 2.2in</t>
  </si>
  <si>
    <t>Header, 9-Pin</t>
  </si>
  <si>
    <t>P3</t>
  </si>
  <si>
    <t>LCD-Header</t>
  </si>
  <si>
    <t>Header, 5-Pin</t>
  </si>
  <si>
    <t>P4</t>
  </si>
  <si>
    <t>ESW-105-23-L-S</t>
  </si>
  <si>
    <t>C3320536</t>
  </si>
  <si>
    <t>Total Parts Cost:</t>
  </si>
  <si>
    <t>Teensy 4.0</t>
  </si>
  <si>
    <t>Teensy_4.0_SBC</t>
  </si>
  <si>
    <t>DIP28-.25pins</t>
  </si>
  <si>
    <t>DEV-20360</t>
  </si>
  <si>
    <t>DEV-16997</t>
  </si>
  <si>
    <t>Socket</t>
  </si>
  <si>
    <t>R24, R32, R39</t>
  </si>
  <si>
    <t>R38</t>
  </si>
  <si>
    <t>ESW-109-23-L-S</t>
  </si>
  <si>
    <t>C22332317</t>
  </si>
  <si>
    <t>PEC11R-4030F-S0024</t>
  </si>
  <si>
    <t>SGTL5000XNBA3</t>
  </si>
  <si>
    <t>C5196742</t>
  </si>
  <si>
    <t>1k @ 100 Mhz</t>
  </si>
  <si>
    <t>Ferrite Bead 1k @ 100 Mhz</t>
  </si>
  <si>
    <t>L1</t>
  </si>
  <si>
    <t>TDK</t>
  </si>
  <si>
    <t>MPZ2012S102ATD25</t>
  </si>
  <si>
    <t>C80983</t>
  </si>
  <si>
    <t>LCD-Display</t>
  </si>
  <si>
    <t>2.8in TFT SPI 240x320 v1.1, ILI9341</t>
  </si>
  <si>
    <t>TJCTM204028SPI</t>
  </si>
  <si>
    <t>Knobs</t>
  </si>
  <si>
    <t>Case</t>
  </si>
  <si>
    <t>Shaft Encoder with switch</t>
  </si>
  <si>
    <t>FCI</t>
  </si>
  <si>
    <t>76341-312LF</t>
  </si>
  <si>
    <t>48Pin (4 each 12pin headers)</t>
  </si>
  <si>
    <t>.15uf/50v</t>
  </si>
  <si>
    <t>C14</t>
  </si>
  <si>
    <t>ESW-104-23-L-S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</si>
</sst>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164" fontId="0" fillId="2" borderId="0" xfId="0" applyNumberFormat="1" applyFill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quotePrefix="1" applyFill="1" applyBorder="1"/>
    <xf numFmtId="0" fontId="0" fillId="2" borderId="1" xfId="0" quotePrefix="1" applyFill="1" applyBorder="1" applyAlignment="1">
      <alignment horizontal="left"/>
    </xf>
    <xf numFmtId="0" fontId="0" fillId="2" borderId="2" xfId="0" quotePrefix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0" fontId="0" fillId="3" borderId="0" xfId="0" applyFill="1"/>
    <xf numFmtId="164" fontId="0" fillId="2" borderId="1" xfId="0" applyNumberForma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quotePrefix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quotePrefix="1" applyFill="1"/>
    <xf numFmtId="0" fontId="0" fillId="3" borderId="0" xfId="0" quotePrefix="1" applyFill="1" applyAlignment="1">
      <alignment horizontal="left"/>
    </xf>
    <xf numFmtId="0" fontId="0" fillId="3" borderId="0" xfId="0" quotePrefix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2" borderId="5" xfId="0" applyNumberFormat="1" applyFill="1" applyBorder="1" applyAlignment="1">
      <alignment horizontal="right"/>
    </xf>
    <xf numFmtId="0" fontId="0" fillId="0" borderId="1" xfId="0" applyBorder="1"/>
    <xf numFmtId="0" fontId="0" fillId="2" borderId="1" xfId="0" quotePrefix="1" applyFill="1" applyBorder="1" applyAlignment="1">
      <alignment horizontal="center"/>
    </xf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C4A-2165-424E-8697-D9FB708CF6EA}">
  <dimension ref="A1:M56"/>
  <sheetViews>
    <sheetView tabSelected="1" topLeftCell="A14" workbookViewId="0">
      <selection activeCell="L50" sqref="L50"/>
    </sheetView>
  </sheetViews>
  <sheetFormatPr baseColWidth="10" defaultRowHeight="16" x14ac:dyDescent="0.2"/>
  <cols>
    <col min="2" max="2" width="21.83203125" customWidth="1"/>
    <col min="3" max="3" width="32.33203125" customWidth="1"/>
    <col min="4" max="4" width="43.1640625" customWidth="1"/>
    <col min="5" max="5" width="13.83203125" customWidth="1"/>
    <col min="6" max="6" width="16.1640625" customWidth="1"/>
    <col min="8" max="8" width="21.33203125" customWidth="1"/>
    <col min="9" max="9" width="26.83203125" customWidth="1"/>
    <col min="10" max="11" width="13.83203125" customWidth="1"/>
  </cols>
  <sheetData>
    <row r="1" spans="1:13" x14ac:dyDescent="0.2">
      <c r="A1" s="1"/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1" t="s">
        <v>9</v>
      </c>
      <c r="L1" s="5" t="s">
        <v>10</v>
      </c>
      <c r="M1" s="5" t="s">
        <v>11</v>
      </c>
    </row>
    <row r="2" spans="1:13" x14ac:dyDescent="0.2">
      <c r="A2" s="1"/>
      <c r="B2" s="1"/>
      <c r="C2" s="1"/>
      <c r="D2" s="1"/>
      <c r="E2" s="2"/>
      <c r="F2" s="3"/>
      <c r="G2" s="1"/>
      <c r="H2" s="1"/>
      <c r="I2" s="6"/>
      <c r="J2" s="4"/>
      <c r="K2" s="2"/>
      <c r="L2" s="7"/>
      <c r="M2" s="7"/>
    </row>
    <row r="3" spans="1:13" x14ac:dyDescent="0.2">
      <c r="A3" s="8" t="s">
        <v>12</v>
      </c>
      <c r="B3" s="9" t="s">
        <v>13</v>
      </c>
      <c r="C3" s="9" t="s">
        <v>14</v>
      </c>
      <c r="D3" s="8" t="s">
        <v>15</v>
      </c>
      <c r="E3" s="10"/>
      <c r="F3" s="3" t="s">
        <v>16</v>
      </c>
      <c r="G3" s="1">
        <v>8</v>
      </c>
      <c r="H3" s="11" t="s">
        <v>17</v>
      </c>
      <c r="I3" s="11" t="s">
        <v>18</v>
      </c>
      <c r="J3" s="4" t="s">
        <v>19</v>
      </c>
      <c r="K3" s="12"/>
      <c r="L3" s="13">
        <v>3.3E-3</v>
      </c>
      <c r="M3" s="13">
        <f t="shared" ref="M3:M44" si="0">G3*L3</f>
        <v>2.64E-2</v>
      </c>
    </row>
    <row r="4" spans="1:13" x14ac:dyDescent="0.2">
      <c r="A4" s="8" t="s">
        <v>12</v>
      </c>
      <c r="B4" s="9" t="s">
        <v>20</v>
      </c>
      <c r="C4" s="9" t="s">
        <v>21</v>
      </c>
      <c r="D4" s="8" t="s">
        <v>22</v>
      </c>
      <c r="E4" s="10"/>
      <c r="F4" s="3" t="s">
        <v>16</v>
      </c>
      <c r="G4" s="1">
        <v>3</v>
      </c>
      <c r="H4" s="11" t="s">
        <v>17</v>
      </c>
      <c r="I4" s="11" t="s">
        <v>23</v>
      </c>
      <c r="J4" s="4" t="s">
        <v>24</v>
      </c>
      <c r="K4" s="12"/>
      <c r="L4" s="13">
        <v>1.89E-2</v>
      </c>
      <c r="M4" s="13">
        <f t="shared" si="0"/>
        <v>5.67E-2</v>
      </c>
    </row>
    <row r="5" spans="1:13" x14ac:dyDescent="0.2">
      <c r="A5" s="1"/>
      <c r="B5" s="8" t="s">
        <v>25</v>
      </c>
      <c r="C5" s="8" t="s">
        <v>26</v>
      </c>
      <c r="D5" s="8" t="s">
        <v>27</v>
      </c>
      <c r="E5" s="2"/>
      <c r="F5" s="3" t="s">
        <v>16</v>
      </c>
      <c r="G5" s="1">
        <v>6</v>
      </c>
      <c r="H5" s="11" t="s">
        <v>17</v>
      </c>
      <c r="I5" s="11" t="s">
        <v>28</v>
      </c>
      <c r="J5" s="14" t="s">
        <v>29</v>
      </c>
      <c r="K5" s="2"/>
      <c r="L5" s="15">
        <v>1.3100000000000001E-2</v>
      </c>
      <c r="M5" s="13">
        <f t="shared" si="0"/>
        <v>7.8600000000000003E-2</v>
      </c>
    </row>
    <row r="6" spans="1:13" x14ac:dyDescent="0.2">
      <c r="A6" s="8" t="s">
        <v>12</v>
      </c>
      <c r="B6" s="9" t="s">
        <v>30</v>
      </c>
      <c r="C6" s="9" t="s">
        <v>21</v>
      </c>
      <c r="D6" s="8" t="s">
        <v>31</v>
      </c>
      <c r="E6" s="10"/>
      <c r="F6" s="3" t="s">
        <v>16</v>
      </c>
      <c r="G6" s="1">
        <v>9</v>
      </c>
      <c r="H6" s="11" t="s">
        <v>17</v>
      </c>
      <c r="I6" s="11" t="s">
        <v>32</v>
      </c>
      <c r="J6" s="4" t="s">
        <v>33</v>
      </c>
      <c r="K6" s="12"/>
      <c r="L6" s="13">
        <v>1.1900000000000001E-2</v>
      </c>
      <c r="M6" s="13">
        <f t="shared" si="0"/>
        <v>0.1071</v>
      </c>
    </row>
    <row r="7" spans="1:13" x14ac:dyDescent="0.2">
      <c r="A7" s="8" t="s">
        <v>12</v>
      </c>
      <c r="B7" s="9" t="s">
        <v>30</v>
      </c>
      <c r="C7" s="9" t="s">
        <v>21</v>
      </c>
      <c r="D7" s="8" t="s">
        <v>34</v>
      </c>
      <c r="E7" s="10" t="s">
        <v>35</v>
      </c>
      <c r="F7" s="3" t="s">
        <v>16</v>
      </c>
      <c r="G7" s="1">
        <v>0</v>
      </c>
      <c r="H7" s="11" t="s">
        <v>17</v>
      </c>
      <c r="I7" s="11" t="s">
        <v>32</v>
      </c>
      <c r="J7" s="4" t="s">
        <v>33</v>
      </c>
      <c r="K7" s="12"/>
      <c r="L7" s="13">
        <v>1.1900000000000001E-2</v>
      </c>
      <c r="M7" s="13">
        <f t="shared" si="0"/>
        <v>0</v>
      </c>
    </row>
    <row r="8" spans="1:13" x14ac:dyDescent="0.2">
      <c r="A8" s="8"/>
      <c r="B8" s="9" t="s">
        <v>161</v>
      </c>
      <c r="C8" s="9" t="s">
        <v>14</v>
      </c>
      <c r="D8" s="9" t="s">
        <v>162</v>
      </c>
      <c r="E8" s="10"/>
      <c r="F8" s="3" t="s">
        <v>16</v>
      </c>
      <c r="G8" s="1">
        <v>1</v>
      </c>
      <c r="H8" s="11"/>
      <c r="I8" s="11"/>
      <c r="J8" s="4"/>
      <c r="K8" s="12"/>
      <c r="L8" s="13"/>
      <c r="M8" s="13"/>
    </row>
    <row r="9" spans="1:13" x14ac:dyDescent="0.2">
      <c r="A9" s="8"/>
      <c r="B9" s="9"/>
      <c r="C9" s="9"/>
      <c r="D9" s="9"/>
      <c r="E9" s="10"/>
      <c r="F9" s="3"/>
      <c r="G9" s="1"/>
      <c r="H9" s="11"/>
      <c r="I9" s="11"/>
      <c r="J9" s="4"/>
      <c r="K9" s="12"/>
      <c r="L9" s="13"/>
      <c r="M9" s="13">
        <f t="shared" si="0"/>
        <v>0</v>
      </c>
    </row>
    <row r="10" spans="1:13" x14ac:dyDescent="0.2">
      <c r="A10" s="1"/>
      <c r="B10" s="8" t="s">
        <v>37</v>
      </c>
      <c r="C10" s="9" t="s">
        <v>38</v>
      </c>
      <c r="D10" s="8" t="s">
        <v>39</v>
      </c>
      <c r="E10" s="2"/>
      <c r="F10" s="3" t="s">
        <v>16</v>
      </c>
      <c r="G10" s="1">
        <v>4</v>
      </c>
      <c r="H10" s="11" t="s">
        <v>36</v>
      </c>
      <c r="I10" s="16" t="s">
        <v>40</v>
      </c>
      <c r="J10" s="4" t="s">
        <v>41</v>
      </c>
      <c r="K10" s="2"/>
      <c r="L10" s="13">
        <v>2.3E-3</v>
      </c>
      <c r="M10" s="13">
        <f t="shared" si="0"/>
        <v>9.1999999999999998E-3</v>
      </c>
    </row>
    <row r="11" spans="1:13" x14ac:dyDescent="0.2">
      <c r="A11" s="1"/>
      <c r="B11" s="8" t="s">
        <v>42</v>
      </c>
      <c r="C11" s="9" t="s">
        <v>38</v>
      </c>
      <c r="D11" s="8" t="s">
        <v>43</v>
      </c>
      <c r="E11" s="2"/>
      <c r="F11" s="3" t="s">
        <v>16</v>
      </c>
      <c r="G11" s="1">
        <v>2</v>
      </c>
      <c r="H11" s="11" t="s">
        <v>36</v>
      </c>
      <c r="I11" s="16" t="s">
        <v>44</v>
      </c>
      <c r="J11" s="4" t="s">
        <v>45</v>
      </c>
      <c r="K11" s="2"/>
      <c r="L11" s="13">
        <v>2.3E-3</v>
      </c>
      <c r="M11" s="13">
        <f t="shared" si="0"/>
        <v>4.5999999999999999E-3</v>
      </c>
    </row>
    <row r="12" spans="1:13" x14ac:dyDescent="0.2">
      <c r="A12" s="1"/>
      <c r="B12" s="8" t="s">
        <v>46</v>
      </c>
      <c r="C12" s="9" t="s">
        <v>38</v>
      </c>
      <c r="D12" s="8" t="s">
        <v>47</v>
      </c>
      <c r="E12" s="10" t="s">
        <v>35</v>
      </c>
      <c r="F12" s="3" t="s">
        <v>16</v>
      </c>
      <c r="G12" s="1">
        <v>0</v>
      </c>
      <c r="H12" s="11" t="s">
        <v>36</v>
      </c>
      <c r="I12" s="16" t="s">
        <v>48</v>
      </c>
      <c r="J12" s="4" t="s">
        <v>49</v>
      </c>
      <c r="K12" s="2"/>
      <c r="L12" s="13">
        <v>2.3E-3</v>
      </c>
      <c r="M12" s="13">
        <f t="shared" si="0"/>
        <v>0</v>
      </c>
    </row>
    <row r="13" spans="1:13" x14ac:dyDescent="0.2">
      <c r="A13" s="1"/>
      <c r="B13" s="8" t="s">
        <v>46</v>
      </c>
      <c r="C13" s="9" t="s">
        <v>38</v>
      </c>
      <c r="D13" s="8" t="s">
        <v>50</v>
      </c>
      <c r="E13" s="2"/>
      <c r="F13" s="3" t="s">
        <v>16</v>
      </c>
      <c r="G13" s="1">
        <v>6</v>
      </c>
      <c r="H13" s="11" t="s">
        <v>36</v>
      </c>
      <c r="I13" s="16" t="s">
        <v>48</v>
      </c>
      <c r="J13" s="4" t="s">
        <v>49</v>
      </c>
      <c r="K13" s="2"/>
      <c r="L13" s="13">
        <v>2.3E-3</v>
      </c>
      <c r="M13" s="13">
        <f t="shared" si="0"/>
        <v>1.38E-2</v>
      </c>
    </row>
    <row r="14" spans="1:13" x14ac:dyDescent="0.2">
      <c r="A14" s="1"/>
      <c r="B14" s="8" t="s">
        <v>51</v>
      </c>
      <c r="C14" s="9" t="s">
        <v>38</v>
      </c>
      <c r="D14" s="8" t="s">
        <v>52</v>
      </c>
      <c r="E14" s="10" t="s">
        <v>35</v>
      </c>
      <c r="F14" s="3" t="s">
        <v>16</v>
      </c>
      <c r="G14" s="1">
        <v>0</v>
      </c>
      <c r="H14" s="11" t="s">
        <v>36</v>
      </c>
      <c r="I14" s="16" t="s">
        <v>53</v>
      </c>
      <c r="J14" s="4" t="s">
        <v>54</v>
      </c>
      <c r="K14" s="2"/>
      <c r="L14" s="13">
        <v>2.3E-3</v>
      </c>
      <c r="M14" s="13">
        <f t="shared" si="0"/>
        <v>0</v>
      </c>
    </row>
    <row r="15" spans="1:13" x14ac:dyDescent="0.2">
      <c r="A15" s="1"/>
      <c r="B15" s="8" t="s">
        <v>51</v>
      </c>
      <c r="C15" s="9" t="s">
        <v>38</v>
      </c>
      <c r="D15" s="8" t="s">
        <v>55</v>
      </c>
      <c r="E15" s="2"/>
      <c r="F15" s="3" t="s">
        <v>16</v>
      </c>
      <c r="G15" s="1">
        <v>8</v>
      </c>
      <c r="H15" s="11" t="s">
        <v>36</v>
      </c>
      <c r="I15" s="16" t="s">
        <v>53</v>
      </c>
      <c r="J15" s="4" t="s">
        <v>54</v>
      </c>
      <c r="K15" s="2"/>
      <c r="L15" s="13">
        <v>2.3E-3</v>
      </c>
      <c r="M15" s="13">
        <f t="shared" si="0"/>
        <v>1.84E-2</v>
      </c>
    </row>
    <row r="16" spans="1:13" x14ac:dyDescent="0.2">
      <c r="A16" s="1"/>
      <c r="B16" s="8" t="s">
        <v>56</v>
      </c>
      <c r="C16" s="9" t="s">
        <v>38</v>
      </c>
      <c r="D16" s="8" t="s">
        <v>140</v>
      </c>
      <c r="E16" s="10" t="s">
        <v>35</v>
      </c>
      <c r="F16" s="3" t="s">
        <v>16</v>
      </c>
      <c r="G16" s="1">
        <v>0</v>
      </c>
      <c r="H16" s="11" t="s">
        <v>36</v>
      </c>
      <c r="I16" s="16" t="s">
        <v>57</v>
      </c>
      <c r="J16" t="s">
        <v>88</v>
      </c>
      <c r="K16" s="2"/>
      <c r="L16" s="13">
        <v>2.3E-3</v>
      </c>
      <c r="M16" s="13">
        <f t="shared" ref="M16" si="1">G16*L16</f>
        <v>0</v>
      </c>
    </row>
    <row r="17" spans="1:13" x14ac:dyDescent="0.2">
      <c r="A17" s="1"/>
      <c r="B17" s="8" t="s">
        <v>56</v>
      </c>
      <c r="C17" s="9" t="s">
        <v>38</v>
      </c>
      <c r="D17" s="8" t="s">
        <v>139</v>
      </c>
      <c r="E17" s="2"/>
      <c r="F17" s="3" t="s">
        <v>16</v>
      </c>
      <c r="G17" s="1">
        <v>3</v>
      </c>
      <c r="H17" s="11" t="s">
        <v>36</v>
      </c>
      <c r="I17" s="16" t="s">
        <v>57</v>
      </c>
      <c r="J17" t="s">
        <v>88</v>
      </c>
      <c r="K17" s="2"/>
      <c r="L17" s="13">
        <v>2.3E-3</v>
      </c>
      <c r="M17" s="13">
        <f t="shared" si="0"/>
        <v>6.8999999999999999E-3</v>
      </c>
    </row>
    <row r="18" spans="1:13" x14ac:dyDescent="0.2">
      <c r="A18" s="1"/>
      <c r="B18" s="8" t="s">
        <v>58</v>
      </c>
      <c r="C18" s="9" t="s">
        <v>38</v>
      </c>
      <c r="D18" s="8" t="s">
        <v>59</v>
      </c>
      <c r="E18" s="2"/>
      <c r="F18" s="3" t="s">
        <v>16</v>
      </c>
      <c r="G18" s="1">
        <v>6</v>
      </c>
      <c r="H18" s="11" t="s">
        <v>36</v>
      </c>
      <c r="I18" s="16" t="s">
        <v>60</v>
      </c>
      <c r="J18" s="14" t="s">
        <v>61</v>
      </c>
      <c r="K18" s="2"/>
      <c r="L18" s="13">
        <v>2.3E-3</v>
      </c>
      <c r="M18" s="13">
        <f t="shared" si="0"/>
        <v>1.38E-2</v>
      </c>
    </row>
    <row r="19" spans="1:13" x14ac:dyDescent="0.2">
      <c r="A19" s="8" t="s">
        <v>12</v>
      </c>
      <c r="B19" s="8" t="s">
        <v>62</v>
      </c>
      <c r="C19" s="9" t="s">
        <v>38</v>
      </c>
      <c r="D19" s="8" t="s">
        <v>63</v>
      </c>
      <c r="E19" s="10"/>
      <c r="F19" s="3" t="s">
        <v>16</v>
      </c>
      <c r="G19" s="1">
        <v>2</v>
      </c>
      <c r="H19" s="11" t="s">
        <v>36</v>
      </c>
      <c r="I19" s="16" t="s">
        <v>64</v>
      </c>
      <c r="J19" s="4" t="s">
        <v>65</v>
      </c>
      <c r="K19" s="12"/>
      <c r="L19" s="13">
        <v>2.3E-3</v>
      </c>
      <c r="M19" s="13">
        <f t="shared" si="0"/>
        <v>4.5999999999999999E-3</v>
      </c>
    </row>
    <row r="20" spans="1:13" x14ac:dyDescent="0.2">
      <c r="A20" s="17"/>
      <c r="B20" s="17"/>
      <c r="C20" s="17"/>
      <c r="D20" s="17"/>
      <c r="E20" s="18"/>
      <c r="F20" s="19"/>
      <c r="G20" s="17"/>
      <c r="H20" s="17"/>
      <c r="I20" s="17"/>
      <c r="J20" s="20"/>
      <c r="K20" s="18"/>
      <c r="L20" s="21"/>
      <c r="M20" s="22">
        <f t="shared" si="0"/>
        <v>0</v>
      </c>
    </row>
    <row r="21" spans="1:13" s="39" customFormat="1" x14ac:dyDescent="0.2">
      <c r="A21" s="37"/>
      <c r="B21" s="37" t="s">
        <v>138</v>
      </c>
      <c r="C21" s="37" t="s">
        <v>160</v>
      </c>
      <c r="D21" s="37" t="s">
        <v>68</v>
      </c>
      <c r="E21" s="10" t="s">
        <v>35</v>
      </c>
      <c r="F21" s="1" t="s">
        <v>120</v>
      </c>
      <c r="G21" s="23">
        <v>4</v>
      </c>
      <c r="H21" s="37" t="s">
        <v>158</v>
      </c>
      <c r="I21" s="41" t="s">
        <v>159</v>
      </c>
      <c r="J21" s="24"/>
      <c r="K21" s="38"/>
      <c r="L21" s="40">
        <v>1.22</v>
      </c>
      <c r="M21" s="40">
        <f t="shared" si="0"/>
        <v>4.88</v>
      </c>
    </row>
    <row r="22" spans="1:13" x14ac:dyDescent="0.2">
      <c r="A22" s="11"/>
      <c r="B22" s="25" t="s">
        <v>133</v>
      </c>
      <c r="C22" s="25" t="s">
        <v>134</v>
      </c>
      <c r="D22" s="25" t="s">
        <v>68</v>
      </c>
      <c r="E22" s="10" t="s">
        <v>35</v>
      </c>
      <c r="F22" s="26" t="s">
        <v>135</v>
      </c>
      <c r="G22" s="1">
        <v>0</v>
      </c>
      <c r="H22" s="11" t="s">
        <v>70</v>
      </c>
      <c r="I22" s="41" t="s">
        <v>137</v>
      </c>
      <c r="J22" s="24"/>
      <c r="K22" s="11"/>
      <c r="L22" s="13">
        <v>26.8</v>
      </c>
      <c r="M22" s="13">
        <f t="shared" si="0"/>
        <v>0</v>
      </c>
    </row>
    <row r="23" spans="1:13" x14ac:dyDescent="0.2">
      <c r="A23" s="8"/>
      <c r="B23" s="25" t="s">
        <v>66</v>
      </c>
      <c r="C23" s="25" t="s">
        <v>67</v>
      </c>
      <c r="D23" s="25" t="s">
        <v>68</v>
      </c>
      <c r="E23" s="10" t="s">
        <v>35</v>
      </c>
      <c r="F23" s="26" t="s">
        <v>69</v>
      </c>
      <c r="G23" s="1">
        <v>1</v>
      </c>
      <c r="H23" s="11" t="s">
        <v>70</v>
      </c>
      <c r="I23" s="41" t="s">
        <v>136</v>
      </c>
      <c r="J23" s="24"/>
      <c r="K23" s="12"/>
      <c r="L23" s="13">
        <v>33.6</v>
      </c>
      <c r="M23" s="13">
        <f t="shared" si="0"/>
        <v>33.6</v>
      </c>
    </row>
    <row r="24" spans="1:13" x14ac:dyDescent="0.2">
      <c r="A24" s="8" t="s">
        <v>12</v>
      </c>
      <c r="B24" s="9" t="s">
        <v>71</v>
      </c>
      <c r="C24" s="9" t="s">
        <v>72</v>
      </c>
      <c r="D24" s="9" t="s">
        <v>73</v>
      </c>
      <c r="E24" s="10"/>
      <c r="F24" s="3" t="s">
        <v>74</v>
      </c>
      <c r="G24" s="1">
        <v>1</v>
      </c>
      <c r="H24" s="8" t="s">
        <v>75</v>
      </c>
      <c r="I24" s="9" t="s">
        <v>71</v>
      </c>
      <c r="J24" s="4" t="s">
        <v>76</v>
      </c>
      <c r="K24" s="12"/>
      <c r="L24" s="13">
        <v>6.6860000000000003E-2</v>
      </c>
      <c r="M24" s="13">
        <f t="shared" si="0"/>
        <v>6.6860000000000003E-2</v>
      </c>
    </row>
    <row r="25" spans="1:13" x14ac:dyDescent="0.2">
      <c r="A25" s="8" t="s">
        <v>12</v>
      </c>
      <c r="B25" s="9" t="s">
        <v>77</v>
      </c>
      <c r="C25" s="9" t="s">
        <v>78</v>
      </c>
      <c r="D25" s="9" t="s">
        <v>79</v>
      </c>
      <c r="E25" s="10"/>
      <c r="F25" s="3" t="s">
        <v>80</v>
      </c>
      <c r="G25" s="1">
        <v>1</v>
      </c>
      <c r="H25" s="11" t="s">
        <v>81</v>
      </c>
      <c r="I25" s="9" t="s">
        <v>77</v>
      </c>
      <c r="J25" s="4" t="s">
        <v>82</v>
      </c>
      <c r="K25" s="12" t="s">
        <v>83</v>
      </c>
      <c r="L25" s="13">
        <v>6.4399999999999999E-2</v>
      </c>
      <c r="M25" s="13">
        <f t="shared" si="0"/>
        <v>6.4399999999999999E-2</v>
      </c>
    </row>
    <row r="26" spans="1:13" x14ac:dyDescent="0.2">
      <c r="A26" s="11"/>
      <c r="B26" s="9" t="s">
        <v>144</v>
      </c>
      <c r="C26" s="9" t="s">
        <v>84</v>
      </c>
      <c r="D26" s="9" t="s">
        <v>85</v>
      </c>
      <c r="E26" s="10"/>
      <c r="F26" s="1" t="s">
        <v>86</v>
      </c>
      <c r="G26" s="1">
        <v>1</v>
      </c>
      <c r="H26" s="11" t="s">
        <v>87</v>
      </c>
      <c r="I26" s="9" t="s">
        <v>144</v>
      </c>
      <c r="J26" s="4" t="s">
        <v>145</v>
      </c>
      <c r="K26" s="12"/>
      <c r="L26" s="13">
        <v>7.11</v>
      </c>
      <c r="M26" s="13">
        <f t="shared" si="0"/>
        <v>7.11</v>
      </c>
    </row>
    <row r="27" spans="1:13" x14ac:dyDescent="0.2">
      <c r="A27" s="8" t="s">
        <v>12</v>
      </c>
      <c r="B27" s="9" t="s">
        <v>89</v>
      </c>
      <c r="C27" s="9" t="s">
        <v>90</v>
      </c>
      <c r="D27" s="9" t="s">
        <v>91</v>
      </c>
      <c r="E27" s="10" t="s">
        <v>35</v>
      </c>
      <c r="F27" s="1" t="s">
        <v>92</v>
      </c>
      <c r="G27" s="1">
        <v>0</v>
      </c>
      <c r="H27" s="8" t="s">
        <v>93</v>
      </c>
      <c r="I27" s="9" t="s">
        <v>89</v>
      </c>
      <c r="J27" s="4" t="s">
        <v>94</v>
      </c>
      <c r="K27" s="12"/>
      <c r="L27" s="13">
        <v>2.0169000000000001</v>
      </c>
      <c r="M27" s="13">
        <f t="shared" si="0"/>
        <v>0</v>
      </c>
    </row>
    <row r="28" spans="1:13" x14ac:dyDescent="0.2">
      <c r="A28" s="8"/>
      <c r="B28" s="8" t="s">
        <v>95</v>
      </c>
      <c r="C28" s="8" t="s">
        <v>96</v>
      </c>
      <c r="D28" s="8" t="s">
        <v>97</v>
      </c>
      <c r="E28" s="10" t="s">
        <v>35</v>
      </c>
      <c r="F28" s="1" t="s">
        <v>98</v>
      </c>
      <c r="G28" s="1">
        <v>0</v>
      </c>
      <c r="H28" s="8"/>
      <c r="I28" s="9"/>
      <c r="J28" s="4"/>
      <c r="K28" s="12"/>
      <c r="L28" s="13"/>
      <c r="M28" s="13">
        <f t="shared" si="0"/>
        <v>0</v>
      </c>
    </row>
    <row r="29" spans="1:13" x14ac:dyDescent="0.2">
      <c r="A29" s="8"/>
      <c r="B29" s="8"/>
      <c r="C29" s="8"/>
      <c r="D29" s="8"/>
      <c r="E29" s="10"/>
      <c r="F29" s="1"/>
      <c r="G29" s="1"/>
      <c r="H29" s="8"/>
      <c r="I29" s="9"/>
      <c r="J29" s="4"/>
      <c r="K29" s="12"/>
      <c r="L29" s="13"/>
      <c r="M29" s="13">
        <f t="shared" si="0"/>
        <v>0</v>
      </c>
    </row>
    <row r="30" spans="1:13" x14ac:dyDescent="0.2">
      <c r="A30" s="8"/>
      <c r="B30" s="8" t="s">
        <v>143</v>
      </c>
      <c r="C30" s="8" t="s">
        <v>157</v>
      </c>
      <c r="D30" s="8" t="s">
        <v>99</v>
      </c>
      <c r="E30" s="10"/>
      <c r="F30" s="3" t="s">
        <v>105</v>
      </c>
      <c r="G30" s="1">
        <v>2</v>
      </c>
      <c r="H30" s="8" t="s">
        <v>100</v>
      </c>
      <c r="I30" s="8" t="s">
        <v>143</v>
      </c>
      <c r="J30" s="14" t="s">
        <v>101</v>
      </c>
      <c r="K30" s="12"/>
      <c r="L30" s="13">
        <v>2.1</v>
      </c>
      <c r="M30" s="13">
        <f t="shared" si="0"/>
        <v>4.2</v>
      </c>
    </row>
    <row r="31" spans="1:13" x14ac:dyDescent="0.2">
      <c r="A31" s="8" t="s">
        <v>12</v>
      </c>
      <c r="B31" s="9" t="s">
        <v>102</v>
      </c>
      <c r="C31" s="9" t="s">
        <v>103</v>
      </c>
      <c r="D31" s="8" t="s">
        <v>104</v>
      </c>
      <c r="E31" s="10"/>
      <c r="F31" s="3" t="s">
        <v>105</v>
      </c>
      <c r="G31" s="1">
        <v>2</v>
      </c>
      <c r="H31" s="11" t="s">
        <v>106</v>
      </c>
      <c r="I31" s="9" t="s">
        <v>102</v>
      </c>
      <c r="J31" s="4" t="s">
        <v>107</v>
      </c>
      <c r="K31" s="12" t="s">
        <v>108</v>
      </c>
      <c r="L31" s="13">
        <v>1.1200000000000001</v>
      </c>
      <c r="M31" s="13">
        <f t="shared" si="0"/>
        <v>2.2400000000000002</v>
      </c>
    </row>
    <row r="32" spans="1:13" x14ac:dyDescent="0.2">
      <c r="A32" s="8"/>
      <c r="B32" s="8"/>
      <c r="C32" s="8"/>
      <c r="D32" s="8"/>
      <c r="E32" s="10"/>
      <c r="F32" s="1"/>
      <c r="G32" s="1"/>
      <c r="H32" s="8"/>
      <c r="I32" s="9"/>
      <c r="J32" s="4"/>
      <c r="K32" s="12"/>
      <c r="L32" s="13"/>
      <c r="M32" s="13">
        <f t="shared" si="0"/>
        <v>0</v>
      </c>
    </row>
    <row r="33" spans="1:13" x14ac:dyDescent="0.2">
      <c r="A33" s="8"/>
      <c r="B33" s="8" t="s">
        <v>146</v>
      </c>
      <c r="C33" s="41" t="s">
        <v>147</v>
      </c>
      <c r="D33" s="8" t="s">
        <v>148</v>
      </c>
      <c r="E33" s="10"/>
      <c r="F33" s="3" t="s">
        <v>16</v>
      </c>
      <c r="G33" s="1">
        <v>1</v>
      </c>
      <c r="H33" s="8" t="s">
        <v>149</v>
      </c>
      <c r="I33" s="9" t="s">
        <v>150</v>
      </c>
      <c r="J33" s="41" t="s">
        <v>151</v>
      </c>
      <c r="K33" s="12"/>
      <c r="L33" s="13">
        <v>0.04</v>
      </c>
      <c r="M33" s="13">
        <f t="shared" si="0"/>
        <v>0.04</v>
      </c>
    </row>
    <row r="34" spans="1:13" x14ac:dyDescent="0.2">
      <c r="A34" s="8"/>
      <c r="B34" s="8"/>
      <c r="C34" s="41"/>
      <c r="D34" s="8"/>
      <c r="E34" s="10"/>
      <c r="F34" s="3"/>
      <c r="G34" s="1"/>
      <c r="H34" s="8"/>
      <c r="I34" s="9"/>
      <c r="J34" s="41"/>
      <c r="K34" s="12"/>
      <c r="L34" s="13"/>
      <c r="M34" s="13">
        <f t="shared" si="0"/>
        <v>0</v>
      </c>
    </row>
    <row r="35" spans="1:13" x14ac:dyDescent="0.2">
      <c r="A35" s="8"/>
      <c r="B35" s="8" t="s">
        <v>111</v>
      </c>
      <c r="C35" s="9"/>
      <c r="D35" s="9"/>
      <c r="E35" s="10" t="s">
        <v>35</v>
      </c>
      <c r="F35" s="3" t="s">
        <v>16</v>
      </c>
      <c r="G35" s="1">
        <v>0</v>
      </c>
      <c r="H35" s="8"/>
      <c r="I35" s="9"/>
      <c r="J35" s="4"/>
      <c r="K35" s="12"/>
      <c r="L35" s="13"/>
      <c r="M35" s="13">
        <f>G35*L35</f>
        <v>0</v>
      </c>
    </row>
    <row r="36" spans="1:13" x14ac:dyDescent="0.2">
      <c r="A36" s="8"/>
      <c r="B36" s="8" t="s">
        <v>109</v>
      </c>
      <c r="C36" s="9"/>
      <c r="D36" s="9"/>
      <c r="E36" s="10" t="s">
        <v>35</v>
      </c>
      <c r="F36" s="3" t="s">
        <v>16</v>
      </c>
      <c r="G36" s="1">
        <v>0</v>
      </c>
      <c r="H36" s="8"/>
      <c r="I36" s="9"/>
      <c r="J36" s="4"/>
      <c r="K36" s="12"/>
      <c r="L36" s="13"/>
      <c r="M36" s="13">
        <f t="shared" si="0"/>
        <v>0</v>
      </c>
    </row>
    <row r="37" spans="1:13" x14ac:dyDescent="0.2">
      <c r="A37" s="8"/>
      <c r="B37" s="8" t="s">
        <v>112</v>
      </c>
      <c r="C37" s="9"/>
      <c r="D37" s="9"/>
      <c r="E37" s="10" t="s">
        <v>35</v>
      </c>
      <c r="F37" s="3" t="s">
        <v>16</v>
      </c>
      <c r="G37" s="1">
        <v>0</v>
      </c>
      <c r="H37" s="8"/>
      <c r="I37" s="9"/>
      <c r="J37" s="4"/>
      <c r="K37" s="12"/>
      <c r="L37" s="13"/>
      <c r="M37" s="13">
        <f>G37*L37</f>
        <v>0</v>
      </c>
    </row>
    <row r="38" spans="1:13" x14ac:dyDescent="0.2">
      <c r="A38" s="41"/>
      <c r="B38" s="8" t="s">
        <v>110</v>
      </c>
      <c r="C38" s="9"/>
      <c r="D38" s="9"/>
      <c r="E38" s="42" t="s">
        <v>35</v>
      </c>
      <c r="F38" s="3" t="s">
        <v>16</v>
      </c>
      <c r="G38" s="1">
        <v>0</v>
      </c>
      <c r="H38" s="8"/>
      <c r="I38" s="9"/>
      <c r="J38" s="24"/>
      <c r="K38" s="11"/>
      <c r="L38" s="13"/>
      <c r="M38" s="13">
        <f>G38*L38</f>
        <v>0</v>
      </c>
    </row>
    <row r="39" spans="1:13" x14ac:dyDescent="0.2">
      <c r="A39" s="8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13">
        <f t="shared" si="0"/>
        <v>0</v>
      </c>
    </row>
    <row r="40" spans="1:13" x14ac:dyDescent="0.2">
      <c r="A40" s="8"/>
      <c r="B40" s="8"/>
      <c r="C40" s="9"/>
      <c r="D40" s="9"/>
      <c r="E40" s="42"/>
      <c r="F40" s="3"/>
      <c r="G40" s="1"/>
      <c r="H40" s="8"/>
      <c r="I40" s="9"/>
      <c r="J40" s="24"/>
      <c r="K40" s="11"/>
      <c r="L40" s="13"/>
      <c r="M40" s="13">
        <f t="shared" si="0"/>
        <v>0</v>
      </c>
    </row>
    <row r="41" spans="1:13" x14ac:dyDescent="0.2">
      <c r="A41" s="8"/>
      <c r="B41" s="8" t="s">
        <v>113</v>
      </c>
      <c r="C41" s="9"/>
      <c r="D41" s="9"/>
      <c r="E41" s="42" t="s">
        <v>35</v>
      </c>
      <c r="F41" s="1"/>
      <c r="G41" s="1">
        <v>0</v>
      </c>
      <c r="H41" s="8"/>
      <c r="I41" s="9"/>
      <c r="J41" s="24"/>
      <c r="K41" s="11"/>
      <c r="L41" s="13"/>
      <c r="M41" s="13">
        <f t="shared" si="0"/>
        <v>0</v>
      </c>
    </row>
    <row r="42" spans="1:13" x14ac:dyDescent="0.2">
      <c r="A42" s="8"/>
      <c r="B42" s="25" t="s">
        <v>114</v>
      </c>
      <c r="C42" s="25" t="s">
        <v>115</v>
      </c>
      <c r="D42" s="25" t="s">
        <v>116</v>
      </c>
      <c r="E42" s="10" t="s">
        <v>35</v>
      </c>
      <c r="F42" s="1" t="s">
        <v>120</v>
      </c>
      <c r="G42" s="1">
        <v>0</v>
      </c>
      <c r="H42" s="8" t="s">
        <v>121</v>
      </c>
      <c r="I42" s="8" t="s">
        <v>163</v>
      </c>
      <c r="J42" s="4"/>
      <c r="K42" s="12"/>
      <c r="L42" s="13"/>
      <c r="M42" s="13">
        <f t="shared" si="0"/>
        <v>0</v>
      </c>
    </row>
    <row r="43" spans="1:13" x14ac:dyDescent="0.2">
      <c r="A43" s="8"/>
      <c r="B43" s="8" t="s">
        <v>117</v>
      </c>
      <c r="C43" s="8" t="s">
        <v>118</v>
      </c>
      <c r="D43" s="8" t="s">
        <v>119</v>
      </c>
      <c r="E43" s="27"/>
      <c r="F43" s="1" t="s">
        <v>120</v>
      </c>
      <c r="G43" s="1">
        <v>1</v>
      </c>
      <c r="H43" s="8" t="s">
        <v>121</v>
      </c>
      <c r="I43" s="8" t="s">
        <v>122</v>
      </c>
      <c r="J43" s="16" t="s">
        <v>123</v>
      </c>
      <c r="K43" s="14"/>
      <c r="L43" s="13">
        <v>3.7730000000000001</v>
      </c>
      <c r="M43" s="13">
        <f t="shared" si="0"/>
        <v>3.7730000000000001</v>
      </c>
    </row>
    <row r="44" spans="1:13" x14ac:dyDescent="0.2">
      <c r="A44" s="8"/>
      <c r="B44" s="8" t="s">
        <v>124</v>
      </c>
      <c r="C44" s="8" t="s">
        <v>125</v>
      </c>
      <c r="D44" s="8" t="s">
        <v>126</v>
      </c>
      <c r="E44" s="10" t="s">
        <v>35</v>
      </c>
      <c r="F44" s="1" t="s">
        <v>120</v>
      </c>
      <c r="G44" s="1">
        <v>0</v>
      </c>
      <c r="H44" s="8" t="s">
        <v>121</v>
      </c>
      <c r="I44" s="8" t="s">
        <v>141</v>
      </c>
      <c r="J44" s="41" t="s">
        <v>142</v>
      </c>
      <c r="K44" s="43"/>
      <c r="L44" s="13"/>
      <c r="M44" s="13">
        <f t="shared" si="0"/>
        <v>0</v>
      </c>
    </row>
    <row r="45" spans="1:13" x14ac:dyDescent="0.2">
      <c r="A45" s="8"/>
      <c r="B45" s="8" t="s">
        <v>127</v>
      </c>
      <c r="C45" s="8" t="s">
        <v>128</v>
      </c>
      <c r="D45" s="8" t="s">
        <v>129</v>
      </c>
      <c r="E45" s="27"/>
      <c r="F45" s="1" t="s">
        <v>120</v>
      </c>
      <c r="G45" s="1">
        <v>1</v>
      </c>
      <c r="H45" s="8" t="s">
        <v>121</v>
      </c>
      <c r="I45" s="8" t="s">
        <v>130</v>
      </c>
      <c r="J45" s="16" t="s">
        <v>131</v>
      </c>
      <c r="K45" s="43"/>
      <c r="L45" s="13">
        <v>7.0999999999999994E-2</v>
      </c>
      <c r="M45" s="13">
        <f>G45*L45</f>
        <v>7.0999999999999994E-2</v>
      </c>
    </row>
    <row r="46" spans="1:13" x14ac:dyDescent="0.2">
      <c r="A46" s="8"/>
      <c r="B46" s="8"/>
      <c r="C46" s="9"/>
      <c r="D46" s="9"/>
      <c r="E46" s="10"/>
      <c r="F46" s="1"/>
      <c r="G46" s="1"/>
      <c r="H46" s="8"/>
      <c r="I46" s="9"/>
      <c r="J46" s="4"/>
      <c r="K46" s="12"/>
      <c r="L46" s="13"/>
      <c r="M46" s="13">
        <f t="shared" ref="M46:M50" si="2">G46*L46</f>
        <v>0</v>
      </c>
    </row>
    <row r="47" spans="1:13" x14ac:dyDescent="0.2">
      <c r="A47" s="8"/>
      <c r="B47" s="8" t="s">
        <v>152</v>
      </c>
      <c r="C47" s="9" t="s">
        <v>153</v>
      </c>
      <c r="D47" s="9"/>
      <c r="E47" s="10"/>
      <c r="F47" s="1"/>
      <c r="G47" s="1">
        <v>1</v>
      </c>
      <c r="H47" s="8"/>
      <c r="I47" s="9" t="s">
        <v>154</v>
      </c>
      <c r="J47" s="4"/>
      <c r="K47" s="12"/>
      <c r="L47" s="13">
        <v>12</v>
      </c>
      <c r="M47" s="13">
        <f t="shared" si="2"/>
        <v>12</v>
      </c>
    </row>
    <row r="48" spans="1:13" x14ac:dyDescent="0.2">
      <c r="A48" s="8"/>
      <c r="B48" s="8" t="s">
        <v>155</v>
      </c>
      <c r="C48" s="9"/>
      <c r="D48" s="9"/>
      <c r="E48" s="10"/>
      <c r="F48" s="1"/>
      <c r="G48" s="1">
        <v>2</v>
      </c>
      <c r="H48" s="8"/>
      <c r="I48" s="9"/>
      <c r="J48" s="4"/>
      <c r="K48" s="12"/>
      <c r="L48" s="13">
        <v>5</v>
      </c>
      <c r="M48" s="13">
        <f t="shared" si="2"/>
        <v>10</v>
      </c>
    </row>
    <row r="49" spans="1:13" x14ac:dyDescent="0.2">
      <c r="A49" s="8"/>
      <c r="B49" s="8" t="s">
        <v>156</v>
      </c>
      <c r="C49" s="9"/>
      <c r="D49" s="9"/>
      <c r="E49" s="10"/>
      <c r="F49" s="1"/>
      <c r="G49" s="1">
        <v>1</v>
      </c>
      <c r="H49" s="8"/>
      <c r="I49" s="9"/>
      <c r="J49" s="4"/>
      <c r="K49" s="12"/>
      <c r="L49" s="13">
        <v>38.5</v>
      </c>
      <c r="M49" s="13">
        <f t="shared" si="2"/>
        <v>38.5</v>
      </c>
    </row>
    <row r="50" spans="1:13" x14ac:dyDescent="0.2">
      <c r="A50" s="8"/>
      <c r="B50" s="8"/>
      <c r="C50" s="9"/>
      <c r="D50" s="9"/>
      <c r="E50" s="10"/>
      <c r="F50" s="1"/>
      <c r="G50" s="1"/>
      <c r="H50" s="8"/>
      <c r="I50" s="9"/>
      <c r="J50" s="4"/>
      <c r="K50" s="12"/>
      <c r="L50" s="13"/>
      <c r="M50" s="13">
        <f t="shared" si="2"/>
        <v>0</v>
      </c>
    </row>
    <row r="51" spans="1:13" x14ac:dyDescent="0.2">
      <c r="A51" s="25"/>
      <c r="B51" s="25"/>
      <c r="C51" s="28"/>
      <c r="D51" s="28"/>
      <c r="E51" s="26"/>
      <c r="F51" s="17"/>
      <c r="G51" s="17"/>
      <c r="H51" s="25"/>
      <c r="I51" s="28"/>
      <c r="J51" s="29"/>
      <c r="K51" s="16"/>
      <c r="L51" s="22"/>
      <c r="M51" s="22"/>
    </row>
    <row r="52" spans="1:13" x14ac:dyDescent="0.2">
      <c r="A52" s="25"/>
      <c r="B52" s="25"/>
      <c r="C52" s="28"/>
      <c r="D52" s="28"/>
      <c r="E52" s="26"/>
      <c r="F52" s="17"/>
      <c r="G52" s="17"/>
      <c r="H52" s="25"/>
      <c r="I52" s="28"/>
      <c r="J52" s="29"/>
      <c r="K52" s="16"/>
      <c r="L52" s="22"/>
      <c r="M52" s="22"/>
    </row>
    <row r="53" spans="1:13" x14ac:dyDescent="0.2">
      <c r="A53" s="25"/>
      <c r="B53" s="25"/>
      <c r="C53" s="28"/>
      <c r="D53" s="28"/>
      <c r="E53" s="26"/>
      <c r="F53" s="17"/>
      <c r="G53" s="17"/>
      <c r="H53" s="25"/>
      <c r="I53" s="28"/>
      <c r="J53" s="29"/>
      <c r="K53" s="16"/>
      <c r="L53" s="22"/>
      <c r="M53" s="22"/>
    </row>
    <row r="54" spans="1:13" x14ac:dyDescent="0.2">
      <c r="A54" s="25"/>
      <c r="B54" s="25"/>
      <c r="C54" s="28"/>
      <c r="D54" s="28"/>
      <c r="E54" s="26"/>
      <c r="F54" s="17"/>
      <c r="G54" s="17"/>
      <c r="H54" s="25"/>
      <c r="I54" s="28"/>
      <c r="J54" s="29"/>
      <c r="K54" s="16"/>
      <c r="L54" s="22"/>
      <c r="M54" s="22"/>
    </row>
    <row r="55" spans="1:13" x14ac:dyDescent="0.2">
      <c r="A55" s="17"/>
      <c r="B55" s="17"/>
      <c r="C55" s="17"/>
      <c r="D55" s="17"/>
      <c r="E55" s="17"/>
      <c r="F55" s="19"/>
      <c r="G55" s="17"/>
      <c r="H55" s="17"/>
      <c r="I55" s="17"/>
      <c r="J55" s="29"/>
      <c r="K55" s="17" t="s">
        <v>132</v>
      </c>
      <c r="L55" s="21"/>
      <c r="M55" s="21">
        <f>SUM(M3:M54)</f>
        <v>116.88536000000001</v>
      </c>
    </row>
    <row r="56" spans="1:13" x14ac:dyDescent="0.2">
      <c r="A56" s="30"/>
      <c r="B56" s="31"/>
      <c r="C56" s="31"/>
      <c r="D56" s="31"/>
      <c r="E56" s="32"/>
      <c r="F56" s="33"/>
      <c r="G56" s="34"/>
      <c r="H56" s="14"/>
      <c r="I56" s="14"/>
      <c r="J56" s="35"/>
      <c r="K56" s="14"/>
      <c r="L56" s="36"/>
      <c r="M56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tom lafleur</cp:lastModifiedBy>
  <dcterms:created xsi:type="dcterms:W3CDTF">2026-03-10T22:48:06Z</dcterms:created>
  <dcterms:modified xsi:type="dcterms:W3CDTF">2026-04-17T17:23:35Z</dcterms:modified>
</cp:coreProperties>
</file>